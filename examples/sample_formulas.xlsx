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数据" sheetId="1" state="visible" r:id="rId1"/>
    <sheet name="季度汇总" sheetId="2" state="visible" r:id="rId2"/>
    <sheet name="管理层报告" sheetId="3" state="visible" r:id="rId3"/>
    <sheet name="产品表" sheetId="4" state="visible" r:id="rId4"/>
    <sheet name="循环引用演示" sheetId="5" state="visible" r:id="rId5"/>
  </sheets>
  <definedNames>
    <definedName name="税率">0.13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产品明细" displayName="产品明细" ref="A1:C4" headerRowCount="1">
  <autoFilter ref="A1:C4"/>
  <tableColumns count="3">
    <tableColumn id="1" name="产品"/>
    <tableColumn id="2" name="单价"/>
    <tableColumn id="3" name="数量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销售额</t>
        </is>
      </c>
      <c r="C1" t="inlineStr">
        <is>
          <t>成本</t>
        </is>
      </c>
      <c r="E1" t="inlineStr">
        <is>
          <t>总销售额</t>
        </is>
      </c>
      <c r="F1">
        <f>SUM(B2:B7)</f>
        <v/>
      </c>
    </row>
    <row r="2">
      <c r="A2" t="inlineStr">
        <is>
          <t>1月</t>
        </is>
      </c>
      <c r="B2" t="n">
        <v>1200</v>
      </c>
      <c r="C2" t="n">
        <v>700</v>
      </c>
      <c r="E2" t="inlineStr">
        <is>
          <t>总成本</t>
        </is>
      </c>
      <c r="F2">
        <f>SUM(C2:C7)</f>
        <v/>
      </c>
    </row>
    <row r="3">
      <c r="A3" t="inlineStr">
        <is>
          <t>2月</t>
        </is>
      </c>
      <c r="B3" t="n">
        <v>1500</v>
      </c>
      <c r="C3" t="n">
        <v>900</v>
      </c>
      <c r="E3" t="inlineStr">
        <is>
          <t>总利润</t>
        </is>
      </c>
      <c r="F3">
        <f>F1-F2</f>
        <v/>
      </c>
    </row>
    <row r="4">
      <c r="A4" t="inlineStr">
        <is>
          <t>3月</t>
        </is>
      </c>
      <c r="B4" t="n">
        <v>1800</v>
      </c>
      <c r="C4" t="n">
        <v>950</v>
      </c>
      <c r="E4" t="inlineStr">
        <is>
          <t>利润率</t>
        </is>
      </c>
      <c r="F4">
        <f>F3/F1</f>
        <v/>
      </c>
    </row>
    <row r="5">
      <c r="A5" t="inlineStr">
        <is>
          <t>4月</t>
        </is>
      </c>
      <c r="B5" t="n">
        <v>1100</v>
      </c>
      <c r="C5" t="n">
        <v>680</v>
      </c>
    </row>
    <row r="6">
      <c r="A6" t="inlineStr">
        <is>
          <t>5月</t>
        </is>
      </c>
      <c r="B6" t="n">
        <v>2100</v>
      </c>
      <c r="C6" t="n">
        <v>1200</v>
      </c>
      <c r="E6" t="inlineStr">
        <is>
          <t>平均销售额（整列）</t>
        </is>
      </c>
      <c r="F6">
        <f>AVERAGE(B:B)</f>
        <v/>
      </c>
    </row>
    <row r="7">
      <c r="A7" t="inlineStr">
        <is>
          <t>6月</t>
        </is>
      </c>
      <c r="B7" t="n">
        <v>1900</v>
      </c>
      <c r="C7" t="n">
        <v>1050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上半年销售额</t>
        </is>
      </c>
      <c r="B2">
        <f>'基础数据'!F1</f>
        <v/>
      </c>
    </row>
    <row r="3">
      <c r="A3" t="inlineStr">
        <is>
          <t>上半年成本</t>
        </is>
      </c>
      <c r="B3">
        <f>'基础数据'!F2</f>
        <v/>
      </c>
    </row>
    <row r="4">
      <c r="A4" t="inlineStr">
        <is>
          <t>上半年利润</t>
        </is>
      </c>
      <c r="B4">
        <f>B2-B3</f>
        <v/>
      </c>
    </row>
    <row r="5">
      <c r="A5" t="inlineStr">
        <is>
          <t>利润率</t>
        </is>
      </c>
      <c r="B5">
        <f>B4/B2</f>
        <v/>
      </c>
    </row>
    <row r="6">
      <c r="A6" t="inlineStr">
        <is>
          <t>税后利润</t>
        </is>
      </c>
      <c r="B6">
        <f>B4*(1-税率)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关键结论</t>
        </is>
      </c>
      <c r="B1" t="inlineStr">
        <is>
          <t>结果</t>
        </is>
      </c>
    </row>
    <row r="2">
      <c r="A2" t="inlineStr">
        <is>
          <t>半年营收</t>
        </is>
      </c>
      <c r="B2">
        <f>季度汇总!B2</f>
        <v/>
      </c>
    </row>
    <row r="3">
      <c r="A3" t="inlineStr">
        <is>
          <t>半年净利润</t>
        </is>
      </c>
      <c r="B3">
        <f>季度汇总!B6</f>
        <v/>
      </c>
    </row>
    <row r="4">
      <c r="A4" t="inlineStr">
        <is>
          <t>结论</t>
        </is>
      </c>
      <c r="B4">
        <f>IF(B3&gt;3000,"盈利良好","需要关注")</f>
        <v/>
      </c>
    </row>
    <row r="5">
      <c r="A5" t="inlineStr">
        <is>
          <t>引用报告自身历史结论的校验格</t>
        </is>
      </c>
      <c r="B5">
        <f>季度汇总!B5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单价</t>
        </is>
      </c>
      <c r="C1" t="inlineStr">
        <is>
          <t>数量</t>
        </is>
      </c>
      <c r="E1" t="inlineStr">
        <is>
          <t>库存总值（结构化表区域）</t>
        </is>
      </c>
      <c r="F1">
        <f>SUMPRODUCT(产品明细[单价],产品明细[数量])</f>
        <v/>
      </c>
    </row>
    <row r="2">
      <c r="A2" t="inlineStr">
        <is>
          <t>键盘</t>
        </is>
      </c>
      <c r="B2" t="n">
        <v>199</v>
      </c>
      <c r="C2" t="n">
        <v>30</v>
      </c>
    </row>
    <row r="3">
      <c r="A3" t="inlineStr">
        <is>
          <t>鼠标</t>
        </is>
      </c>
      <c r="B3" t="n">
        <v>89</v>
      </c>
      <c r="C3" t="n">
        <v>120</v>
      </c>
    </row>
    <row r="4">
      <c r="A4" t="inlineStr">
        <is>
          <t>显示器</t>
        </is>
      </c>
      <c r="B4" t="n">
        <v>1299</v>
      </c>
      <c r="C4" t="n">
        <v>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以下三个单元格构成 A3 -&gt; B3 -&gt; C3 -&gt; A3 的环：</t>
        </is>
      </c>
    </row>
    <row r="3">
      <c r="A3">
        <f>B3+1</f>
        <v/>
      </c>
      <c r="B3">
        <f>C3+1</f>
        <v/>
      </c>
      <c r="C3">
        <f>A3+1</f>
        <v/>
      </c>
    </row>
    <row r="6">
      <c r="A6" t="inlineStr">
        <is>
          <t>自引用循环：</t>
        </is>
      </c>
      <c r="B6">
        <f>B6+1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2026-09-22T11:59:08Z</dcterms:created>
  <dcterms:modified xsi:type="dcterms:W3CDTF">2026-09-22T11:59:08Z</dcterms:modified>
</cp:coreProperties>
</file>